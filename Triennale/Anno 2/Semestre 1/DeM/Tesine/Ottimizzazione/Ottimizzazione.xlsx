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\Desktop\"/>
    </mc:Choice>
  </mc:AlternateContent>
  <xr:revisionPtr revIDLastSave="0" documentId="13_ncr:1_{65CC59FE-B8C8-477D-82EA-A06758991708}" xr6:coauthVersionLast="47" xr6:coauthVersionMax="47" xr10:uidLastSave="{00000000-0000-0000-0000-000000000000}"/>
  <bookViews>
    <workbookView xWindow="-103" yWindow="-103" windowWidth="22149" windowHeight="13200" xr2:uid="{A9ABEF62-6492-4563-84DE-697ADDA07FEA}"/>
  </bookViews>
  <sheets>
    <sheet name="Foglio1" sheetId="1" r:id="rId1"/>
    <sheet name="Foglio1 (3)" sheetId="3" r:id="rId2"/>
    <sheet name="Foglio4" sheetId="4" r:id="rId3"/>
    <sheet name="Foglio1 (2)" sheetId="2" r:id="rId4"/>
  </sheets>
  <definedNames>
    <definedName name="solver_adj" localSheetId="0" hidden="1">Foglio1!$J$2:$J$14</definedName>
    <definedName name="solver_adj" localSheetId="3" hidden="1">'Foglio1 (2)'!$J$2:$J$14</definedName>
    <definedName name="solver_adj" localSheetId="1" hidden="1">'Foglio1 (3)'!$J$2:$J$14</definedName>
    <definedName name="solver_cvg" localSheetId="0" hidden="1">0.0001</definedName>
    <definedName name="solver_cvg" localSheetId="3" hidden="1">0.0001</definedName>
    <definedName name="solver_cvg" localSheetId="1" hidden="1">0.0001</definedName>
    <definedName name="solver_drv" localSheetId="0" hidden="1">2</definedName>
    <definedName name="solver_drv" localSheetId="3" hidden="1">2</definedName>
    <definedName name="solver_drv" localSheetId="1" hidden="1">2</definedName>
    <definedName name="solver_eng" localSheetId="0" hidden="1">2</definedName>
    <definedName name="solver_eng" localSheetId="3" hidden="1">2</definedName>
    <definedName name="solver_eng" localSheetId="1" hidden="1">2</definedName>
    <definedName name="solver_est" localSheetId="0" hidden="1">1</definedName>
    <definedName name="solver_est" localSheetId="3" hidden="1">1</definedName>
    <definedName name="solver_est" localSheetId="1" hidden="1">1</definedName>
    <definedName name="solver_itr" localSheetId="0" hidden="1">2147483647</definedName>
    <definedName name="solver_itr" localSheetId="3" hidden="1">2147483647</definedName>
    <definedName name="solver_itr" localSheetId="1" hidden="1">2147483647</definedName>
    <definedName name="solver_lhs1" localSheetId="0" hidden="1">Foglio1!$C$16</definedName>
    <definedName name="solver_lhs1" localSheetId="3" hidden="1">'Foglio1 (2)'!$C$16</definedName>
    <definedName name="solver_lhs1" localSheetId="1" hidden="1">'Foglio1 (3)'!$C$16</definedName>
    <definedName name="solver_lhs10" localSheetId="0" hidden="1">Foglio1!$J$13</definedName>
    <definedName name="solver_lhs10" localSheetId="3" hidden="1">'Foglio1 (2)'!$J$13</definedName>
    <definedName name="solver_lhs10" localSheetId="1" hidden="1">'Foglio1 (3)'!$J$13</definedName>
    <definedName name="solver_lhs11" localSheetId="0" hidden="1">Foglio1!$J$2</definedName>
    <definedName name="solver_lhs11" localSheetId="3" hidden="1">'Foglio1 (2)'!$J$2</definedName>
    <definedName name="solver_lhs11" localSheetId="1" hidden="1">'Foglio1 (3)'!$J$2</definedName>
    <definedName name="solver_lhs12" localSheetId="0" hidden="1">Foglio1!$J$22</definedName>
    <definedName name="solver_lhs12" localSheetId="3" hidden="1">'Foglio1 (2)'!$J$2:$J$14</definedName>
    <definedName name="solver_lhs12" localSheetId="1" hidden="1">'Foglio1 (3)'!$J$2:$J$14</definedName>
    <definedName name="solver_lhs13" localSheetId="0" hidden="1">Foglio1!$J$2:$J$14</definedName>
    <definedName name="solver_lhs13" localSheetId="3" hidden="1">'Foglio1 (2)'!$J$22</definedName>
    <definedName name="solver_lhs13" localSheetId="1" hidden="1">'Foglio1 (3)'!$J$22</definedName>
    <definedName name="solver_lhs14" localSheetId="0" hidden="1">Foglio1!$J$21</definedName>
    <definedName name="solver_lhs14" localSheetId="3" hidden="1">'Foglio1 (2)'!$J$21</definedName>
    <definedName name="solver_lhs14" localSheetId="1" hidden="1">'Foglio1 (3)'!$J$21</definedName>
    <definedName name="solver_lhs15" localSheetId="0" hidden="1">Foglio1!$J$4</definedName>
    <definedName name="solver_lhs15" localSheetId="3" hidden="1">'Foglio1 (2)'!$J$6</definedName>
    <definedName name="solver_lhs15" localSheetId="1" hidden="1">'Foglio1 (3)'!$J$7</definedName>
    <definedName name="solver_lhs16" localSheetId="0" hidden="1">Foglio1!$J$3</definedName>
    <definedName name="solver_lhs16" localSheetId="3" hidden="1">'Foglio1 (2)'!$J$5</definedName>
    <definedName name="solver_lhs16" localSheetId="1" hidden="1">'Foglio1 (3)'!$J$5</definedName>
    <definedName name="solver_lhs17" localSheetId="0" hidden="1">Foglio1!$J$5</definedName>
    <definedName name="solver_lhs17" localSheetId="3" hidden="1">'Foglio1 (2)'!$J$4</definedName>
    <definedName name="solver_lhs17" localSheetId="1" hidden="1">'Foglio1 (3)'!$J$4</definedName>
    <definedName name="solver_lhs18" localSheetId="0" hidden="1">Foglio1!$J$8</definedName>
    <definedName name="solver_lhs18" localSheetId="3" hidden="1">'Foglio1 (2)'!$J$7</definedName>
    <definedName name="solver_lhs18" localSheetId="1" hidden="1">'Foglio1 (3)'!$J$6</definedName>
    <definedName name="solver_lhs19" localSheetId="0" hidden="1">Foglio1!$J$6</definedName>
    <definedName name="solver_lhs19" localSheetId="3" hidden="1">'Foglio1 (2)'!$J$3</definedName>
    <definedName name="solver_lhs19" localSheetId="1" hidden="1">'Foglio1 (3)'!$J$3</definedName>
    <definedName name="solver_lhs2" localSheetId="0" hidden="1">Foglio1!$D$16</definedName>
    <definedName name="solver_lhs2" localSheetId="3" hidden="1">'Foglio1 (2)'!$D$16</definedName>
    <definedName name="solver_lhs2" localSheetId="1" hidden="1">'Foglio1 (3)'!$D$16</definedName>
    <definedName name="solver_lhs20" localSheetId="0" hidden="1">Foglio1!$J$7</definedName>
    <definedName name="solver_lhs20" localSheetId="3" hidden="1">'Foglio1 (2)'!$J$8</definedName>
    <definedName name="solver_lhs20" localSheetId="1" hidden="1">'Foglio1 (3)'!$J$8</definedName>
    <definedName name="solver_lhs21" localSheetId="0" hidden="1">Foglio1!$B$16</definedName>
    <definedName name="solver_lhs21" localSheetId="3" hidden="1">'Foglio1 (2)'!$B$16</definedName>
    <definedName name="solver_lhs21" localSheetId="1" hidden="1">'Foglio1 (3)'!$B$16</definedName>
    <definedName name="solver_lhs22" localSheetId="0" hidden="1">Foglio1!$J$9</definedName>
    <definedName name="solver_lhs22" localSheetId="3" hidden="1">'Foglio1 (2)'!$J$9</definedName>
    <definedName name="solver_lhs22" localSheetId="1" hidden="1">'Foglio1 (3)'!$J$9</definedName>
    <definedName name="solver_lhs23" localSheetId="0" hidden="1">Foglio1!$B$16</definedName>
    <definedName name="solver_lhs23" localSheetId="3" hidden="1">'Foglio1 (2)'!$B$16</definedName>
    <definedName name="solver_lhs23" localSheetId="1" hidden="1">'Foglio1 (3)'!$B$16</definedName>
    <definedName name="solver_lhs3" localSheetId="0" hidden="1">Foglio1!$C$16</definedName>
    <definedName name="solver_lhs3" localSheetId="3" hidden="1">'Foglio1 (2)'!$C$16</definedName>
    <definedName name="solver_lhs3" localSheetId="1" hidden="1">'Foglio1 (3)'!$C$16</definedName>
    <definedName name="solver_lhs4" localSheetId="0" hidden="1">Foglio1!$E$16</definedName>
    <definedName name="solver_lhs4" localSheetId="3" hidden="1">'Foglio1 (2)'!$E$16</definedName>
    <definedName name="solver_lhs4" localSheetId="1" hidden="1">'Foglio1 (3)'!$E$16</definedName>
    <definedName name="solver_lhs5" localSheetId="0" hidden="1">Foglio1!$D$16</definedName>
    <definedName name="solver_lhs5" localSheetId="3" hidden="1">'Foglio1 (2)'!$D$16</definedName>
    <definedName name="solver_lhs5" localSheetId="1" hidden="1">'Foglio1 (3)'!$D$16</definedName>
    <definedName name="solver_lhs6" localSheetId="0" hidden="1">Foglio1!$G$16</definedName>
    <definedName name="solver_lhs6" localSheetId="3" hidden="1">'Foglio1 (2)'!$G$16</definedName>
    <definedName name="solver_lhs6" localSheetId="1" hidden="1">'Foglio1 (3)'!$G$16</definedName>
    <definedName name="solver_lhs7" localSheetId="0" hidden="1">Foglio1!$G$16</definedName>
    <definedName name="solver_lhs7" localSheetId="3" hidden="1">'Foglio1 (2)'!$G$16</definedName>
    <definedName name="solver_lhs7" localSheetId="1" hidden="1">'Foglio1 (3)'!$G$16</definedName>
    <definedName name="solver_lhs8" localSheetId="0" hidden="1">Foglio1!$J$11</definedName>
    <definedName name="solver_lhs8" localSheetId="3" hidden="1">'Foglio1 (2)'!$J$11</definedName>
    <definedName name="solver_lhs8" localSheetId="1" hidden="1">'Foglio1 (3)'!$J$11</definedName>
    <definedName name="solver_lhs9" localSheetId="0" hidden="1">Foglio1!$J$12</definedName>
    <definedName name="solver_lhs9" localSheetId="3" hidden="1">'Foglio1 (2)'!$J$12</definedName>
    <definedName name="solver_lhs9" localSheetId="1" hidden="1">'Foglio1 (3)'!$J$12</definedName>
    <definedName name="solver_mip" localSheetId="0" hidden="1">2147483647</definedName>
    <definedName name="solver_mip" localSheetId="3" hidden="1">2147483647</definedName>
    <definedName name="solver_mip" localSheetId="1" hidden="1">2147483647</definedName>
    <definedName name="solver_mni" localSheetId="0" hidden="1">30</definedName>
    <definedName name="solver_mni" localSheetId="3" hidden="1">30</definedName>
    <definedName name="solver_mni" localSheetId="1" hidden="1">30</definedName>
    <definedName name="solver_mrt" localSheetId="0" hidden="1">0.075</definedName>
    <definedName name="solver_mrt" localSheetId="3" hidden="1">0.075</definedName>
    <definedName name="solver_mrt" localSheetId="1" hidden="1">0.075</definedName>
    <definedName name="solver_msl" localSheetId="0" hidden="1">2</definedName>
    <definedName name="solver_msl" localSheetId="3" hidden="1">2</definedName>
    <definedName name="solver_msl" localSheetId="1" hidden="1">2</definedName>
    <definedName name="solver_neg" localSheetId="0" hidden="1">1</definedName>
    <definedName name="solver_neg" localSheetId="3" hidden="1">1</definedName>
    <definedName name="solver_neg" localSheetId="1" hidden="1">1</definedName>
    <definedName name="solver_nod" localSheetId="0" hidden="1">2147483647</definedName>
    <definedName name="solver_nod" localSheetId="3" hidden="1">2147483647</definedName>
    <definedName name="solver_nod" localSheetId="1" hidden="1">2147483647</definedName>
    <definedName name="solver_num" localSheetId="0" hidden="1">23</definedName>
    <definedName name="solver_num" localSheetId="3" hidden="1">23</definedName>
    <definedName name="solver_num" localSheetId="1" hidden="1">23</definedName>
    <definedName name="solver_nwt" localSheetId="0" hidden="1">1</definedName>
    <definedName name="solver_nwt" localSheetId="3" hidden="1">1</definedName>
    <definedName name="solver_nwt" localSheetId="1" hidden="1">1</definedName>
    <definedName name="solver_opt" localSheetId="0" hidden="1">Foglio1!$F$16</definedName>
    <definedName name="solver_opt" localSheetId="3" hidden="1">'Foglio1 (2)'!$F$16</definedName>
    <definedName name="solver_opt" localSheetId="1" hidden="1">'Foglio1 (3)'!$F$16</definedName>
    <definedName name="solver_pre" localSheetId="0" hidden="1">0.000001</definedName>
    <definedName name="solver_pre" localSheetId="3" hidden="1">0.000001</definedName>
    <definedName name="solver_pre" localSheetId="1" hidden="1">0.000001</definedName>
    <definedName name="solver_rbv" localSheetId="0" hidden="1">2</definedName>
    <definedName name="solver_rbv" localSheetId="3" hidden="1">2</definedName>
    <definedName name="solver_rbv" localSheetId="1" hidden="1">2</definedName>
    <definedName name="solver_rel1" localSheetId="0" hidden="1">1</definedName>
    <definedName name="solver_rel1" localSheetId="3" hidden="1">1</definedName>
    <definedName name="solver_rel1" localSheetId="1" hidden="1">1</definedName>
    <definedName name="solver_rel10" localSheetId="0" hidden="1">3</definedName>
    <definedName name="solver_rel10" localSheetId="3" hidden="1">3</definedName>
    <definedName name="solver_rel10" localSheetId="1" hidden="1">3</definedName>
    <definedName name="solver_rel11" localSheetId="0" hidden="1">1</definedName>
    <definedName name="solver_rel11" localSheetId="3" hidden="1">1</definedName>
    <definedName name="solver_rel11" localSheetId="1" hidden="1">1</definedName>
    <definedName name="solver_rel12" localSheetId="0" hidden="1">1</definedName>
    <definedName name="solver_rel12" localSheetId="3" hidden="1">3</definedName>
    <definedName name="solver_rel12" localSheetId="1" hidden="1">3</definedName>
    <definedName name="solver_rel13" localSheetId="0" hidden="1">3</definedName>
    <definedName name="solver_rel13" localSheetId="3" hidden="1">1</definedName>
    <definedName name="solver_rel13" localSheetId="1" hidden="1">1</definedName>
    <definedName name="solver_rel14" localSheetId="0" hidden="1">1</definedName>
    <definedName name="solver_rel14" localSheetId="3" hidden="1">1</definedName>
    <definedName name="solver_rel14" localSheetId="1" hidden="1">1</definedName>
    <definedName name="solver_rel15" localSheetId="0" hidden="1">1</definedName>
    <definedName name="solver_rel15" localSheetId="3" hidden="1">1</definedName>
    <definedName name="solver_rel15" localSheetId="1" hidden="1">1</definedName>
    <definedName name="solver_rel16" localSheetId="0" hidden="1">1</definedName>
    <definedName name="solver_rel16" localSheetId="3" hidden="1">1</definedName>
    <definedName name="solver_rel16" localSheetId="1" hidden="1">1</definedName>
    <definedName name="solver_rel17" localSheetId="0" hidden="1">1</definedName>
    <definedName name="solver_rel17" localSheetId="3" hidden="1">1</definedName>
    <definedName name="solver_rel17" localSheetId="1" hidden="1">1</definedName>
    <definedName name="solver_rel18" localSheetId="0" hidden="1">1</definedName>
    <definedName name="solver_rel18" localSheetId="3" hidden="1">1</definedName>
    <definedName name="solver_rel18" localSheetId="1" hidden="1">1</definedName>
    <definedName name="solver_rel19" localSheetId="0" hidden="1">1</definedName>
    <definedName name="solver_rel19" localSheetId="3" hidden="1">1</definedName>
    <definedName name="solver_rel19" localSheetId="1" hidden="1">1</definedName>
    <definedName name="solver_rel2" localSheetId="0" hidden="1">1</definedName>
    <definedName name="solver_rel2" localSheetId="3" hidden="1">1</definedName>
    <definedName name="solver_rel2" localSheetId="1" hidden="1">1</definedName>
    <definedName name="solver_rel20" localSheetId="0" hidden="1">1</definedName>
    <definedName name="solver_rel20" localSheetId="3" hidden="1">1</definedName>
    <definedName name="solver_rel20" localSheetId="1" hidden="1">1</definedName>
    <definedName name="solver_rel21" localSheetId="0" hidden="1">1</definedName>
    <definedName name="solver_rel21" localSheetId="3" hidden="1">1</definedName>
    <definedName name="solver_rel21" localSheetId="1" hidden="1">1</definedName>
    <definedName name="solver_rel22" localSheetId="0" hidden="1">1</definedName>
    <definedName name="solver_rel22" localSheetId="3" hidden="1">1</definedName>
    <definedName name="solver_rel22" localSheetId="1" hidden="1">1</definedName>
    <definedName name="solver_rel23" localSheetId="0" hidden="1">3</definedName>
    <definedName name="solver_rel23" localSheetId="3" hidden="1">3</definedName>
    <definedName name="solver_rel23" localSheetId="1" hidden="1">3</definedName>
    <definedName name="solver_rel3" localSheetId="0" hidden="1">3</definedName>
    <definedName name="solver_rel3" localSheetId="3" hidden="1">3</definedName>
    <definedName name="solver_rel3" localSheetId="1" hidden="1">3</definedName>
    <definedName name="solver_rel4" localSheetId="0" hidden="1">1</definedName>
    <definedName name="solver_rel4" localSheetId="3" hidden="1">1</definedName>
    <definedName name="solver_rel4" localSheetId="1" hidden="1">1</definedName>
    <definedName name="solver_rel5" localSheetId="0" hidden="1">3</definedName>
    <definedName name="solver_rel5" localSheetId="3" hidden="1">3</definedName>
    <definedName name="solver_rel5" localSheetId="1" hidden="1">3</definedName>
    <definedName name="solver_rel6" localSheetId="0" hidden="1">3</definedName>
    <definedName name="solver_rel6" localSheetId="3" hidden="1">3</definedName>
    <definedName name="solver_rel6" localSheetId="1" hidden="1">3</definedName>
    <definedName name="solver_rel7" localSheetId="0" hidden="1">1</definedName>
    <definedName name="solver_rel7" localSheetId="3" hidden="1">1</definedName>
    <definedName name="solver_rel7" localSheetId="1" hidden="1">1</definedName>
    <definedName name="solver_rel8" localSheetId="0" hidden="1">1</definedName>
    <definedName name="solver_rel8" localSheetId="3" hidden="1">1</definedName>
    <definedName name="solver_rel8" localSheetId="1" hidden="1">1</definedName>
    <definedName name="solver_rel9" localSheetId="0" hidden="1">1</definedName>
    <definedName name="solver_rel9" localSheetId="3" hidden="1">1</definedName>
    <definedName name="solver_rel9" localSheetId="1" hidden="1">1</definedName>
    <definedName name="solver_rhs1" localSheetId="0" hidden="1">Foglio1!$C$19</definedName>
    <definedName name="solver_rhs1" localSheetId="3" hidden="1">'Foglio1 (2)'!$C$19</definedName>
    <definedName name="solver_rhs1" localSheetId="1" hidden="1">'Foglio1 (3)'!$C$19</definedName>
    <definedName name="solver_rhs10" localSheetId="0" hidden="1">0</definedName>
    <definedName name="solver_rhs10" localSheetId="3" hidden="1">0</definedName>
    <definedName name="solver_rhs10" localSheetId="1" hidden="1">0</definedName>
    <definedName name="solver_rhs11" localSheetId="0" hidden="1">Foglio1!$H$2</definedName>
    <definedName name="solver_rhs11" localSheetId="3" hidden="1">'Foglio1 (2)'!$H$2</definedName>
    <definedName name="solver_rhs11" localSheetId="1" hidden="1">'Foglio1 (3)'!$H$2</definedName>
    <definedName name="solver_rhs12" localSheetId="0" hidden="1">Foglio1!$H$22</definedName>
    <definedName name="solver_rhs12" localSheetId="3" hidden="1">0</definedName>
    <definedName name="solver_rhs12" localSheetId="1" hidden="1">0</definedName>
    <definedName name="solver_rhs13" localSheetId="0" hidden="1">0</definedName>
    <definedName name="solver_rhs13" localSheetId="3" hidden="1">'Foglio1 (2)'!$H$22</definedName>
    <definedName name="solver_rhs13" localSheetId="1" hidden="1">'Foglio1 (3)'!$H$22</definedName>
    <definedName name="solver_rhs14" localSheetId="0" hidden="1">Foglio1!$H$21</definedName>
    <definedName name="solver_rhs14" localSheetId="3" hidden="1">'Foglio1 (2)'!$H$21</definedName>
    <definedName name="solver_rhs14" localSheetId="1" hidden="1">'Foglio1 (3)'!$H$21</definedName>
    <definedName name="solver_rhs15" localSheetId="0" hidden="1">Foglio1!$H$4</definedName>
    <definedName name="solver_rhs15" localSheetId="3" hidden="1">'Foglio1 (2)'!$H$6</definedName>
    <definedName name="solver_rhs15" localSheetId="1" hidden="1">'Foglio1 (3)'!$H$7</definedName>
    <definedName name="solver_rhs16" localSheetId="0" hidden="1">Foglio1!$H$3</definedName>
    <definedName name="solver_rhs16" localSheetId="3" hidden="1">'Foglio1 (2)'!$H$5</definedName>
    <definedName name="solver_rhs16" localSheetId="1" hidden="1">'Foglio1 (3)'!$H$5</definedName>
    <definedName name="solver_rhs17" localSheetId="0" hidden="1">Foglio1!$H$5</definedName>
    <definedName name="solver_rhs17" localSheetId="3" hidden="1">'Foglio1 (2)'!$H$4</definedName>
    <definedName name="solver_rhs17" localSheetId="1" hidden="1">'Foglio1 (3)'!$H$4</definedName>
    <definedName name="solver_rhs18" localSheetId="0" hidden="1">Foglio1!$H$8</definedName>
    <definedName name="solver_rhs18" localSheetId="3" hidden="1">'Foglio1 (2)'!$H$7</definedName>
    <definedName name="solver_rhs18" localSheetId="1" hidden="1">'Foglio1 (3)'!$H$6</definedName>
    <definedName name="solver_rhs19" localSheetId="0" hidden="1">Foglio1!$H$6</definedName>
    <definedName name="solver_rhs19" localSheetId="3" hidden="1">'Foglio1 (2)'!$H$3</definedName>
    <definedName name="solver_rhs19" localSheetId="1" hidden="1">'Foglio1 (3)'!$H$3</definedName>
    <definedName name="solver_rhs2" localSheetId="0" hidden="1">Foglio1!$D$19</definedName>
    <definedName name="solver_rhs2" localSheetId="3" hidden="1">'Foglio1 (2)'!$D$19</definedName>
    <definedName name="solver_rhs2" localSheetId="1" hidden="1">'Foglio1 (3)'!$D$19</definedName>
    <definedName name="solver_rhs20" localSheetId="0" hidden="1">Foglio1!$H$7</definedName>
    <definedName name="solver_rhs20" localSheetId="3" hidden="1">'Foglio1 (2)'!$H$8</definedName>
    <definedName name="solver_rhs20" localSheetId="1" hidden="1">'Foglio1 (3)'!$H$8</definedName>
    <definedName name="solver_rhs21" localSheetId="0" hidden="1">Foglio1!$B$19</definedName>
    <definedName name="solver_rhs21" localSheetId="3" hidden="1">'Foglio1 (2)'!$B$19</definedName>
    <definedName name="solver_rhs21" localSheetId="1" hidden="1">'Foglio1 (3)'!$B$19</definedName>
    <definedName name="solver_rhs22" localSheetId="0" hidden="1">Foglio1!$H$9</definedName>
    <definedName name="solver_rhs22" localSheetId="3" hidden="1">'Foglio1 (2)'!$H$9</definedName>
    <definedName name="solver_rhs22" localSheetId="1" hidden="1">'Foglio1 (3)'!$H$9</definedName>
    <definedName name="solver_rhs23" localSheetId="0" hidden="1">Foglio1!$B$18</definedName>
    <definedName name="solver_rhs23" localSheetId="3" hidden="1">'Foglio1 (2)'!$B$18</definedName>
    <definedName name="solver_rhs23" localSheetId="1" hidden="1">'Foglio1 (3)'!$B$18</definedName>
    <definedName name="solver_rhs3" localSheetId="0" hidden="1">Foglio1!$C$18</definedName>
    <definedName name="solver_rhs3" localSheetId="3" hidden="1">'Foglio1 (2)'!$C$18</definedName>
    <definedName name="solver_rhs3" localSheetId="1" hidden="1">'Foglio1 (3)'!$C$18</definedName>
    <definedName name="solver_rhs4" localSheetId="0" hidden="1">Foglio1!$E$19</definedName>
    <definedName name="solver_rhs4" localSheetId="3" hidden="1">'Foglio1 (2)'!$E$19</definedName>
    <definedName name="solver_rhs4" localSheetId="1" hidden="1">'Foglio1 (3)'!$E$19</definedName>
    <definedName name="solver_rhs5" localSheetId="0" hidden="1">Foglio1!$D$18</definedName>
    <definedName name="solver_rhs5" localSheetId="3" hidden="1">'Foglio1 (2)'!$D$18</definedName>
    <definedName name="solver_rhs5" localSheetId="1" hidden="1">'Foglio1 (3)'!$D$18</definedName>
    <definedName name="solver_rhs6" localSheetId="0" hidden="1">Foglio1!$G$18</definedName>
    <definedName name="solver_rhs6" localSheetId="3" hidden="1">'Foglio1 (2)'!$G$18</definedName>
    <definedName name="solver_rhs6" localSheetId="1" hidden="1">'Foglio1 (3)'!$G$18</definedName>
    <definedName name="solver_rhs7" localSheetId="0" hidden="1">Foglio1!$G$19</definedName>
    <definedName name="solver_rhs7" localSheetId="3" hidden="1">'Foglio1 (2)'!$G$19</definedName>
    <definedName name="solver_rhs7" localSheetId="1" hidden="1">'Foglio1 (3)'!$G$19</definedName>
    <definedName name="solver_rhs8" localSheetId="0" hidden="1">Foglio1!$H$11</definedName>
    <definedName name="solver_rhs8" localSheetId="3" hidden="1">'Foglio1 (2)'!$H$11</definedName>
    <definedName name="solver_rhs8" localSheetId="1" hidden="1">'Foglio1 (3)'!$H$11</definedName>
    <definedName name="solver_rhs9" localSheetId="0" hidden="1">Foglio1!$H$12</definedName>
    <definedName name="solver_rhs9" localSheetId="3" hidden="1">'Foglio1 (2)'!$H$12</definedName>
    <definedName name="solver_rhs9" localSheetId="1" hidden="1">'Foglio1 (3)'!$H$12</definedName>
    <definedName name="solver_rlx" localSheetId="0" hidden="1">2</definedName>
    <definedName name="solver_rlx" localSheetId="3" hidden="1">2</definedName>
    <definedName name="solver_rlx" localSheetId="1" hidden="1">2</definedName>
    <definedName name="solver_rsd" localSheetId="0" hidden="1">0</definedName>
    <definedName name="solver_rsd" localSheetId="3" hidden="1">0</definedName>
    <definedName name="solver_rsd" localSheetId="1" hidden="1">0</definedName>
    <definedName name="solver_scl" localSheetId="0" hidden="1">2</definedName>
    <definedName name="solver_scl" localSheetId="3" hidden="1">2</definedName>
    <definedName name="solver_scl" localSheetId="1" hidden="1">2</definedName>
    <definedName name="solver_sho" localSheetId="0" hidden="1">2</definedName>
    <definedName name="solver_sho" localSheetId="3" hidden="1">2</definedName>
    <definedName name="solver_sho" localSheetId="1" hidden="1">2</definedName>
    <definedName name="solver_ssz" localSheetId="0" hidden="1">100</definedName>
    <definedName name="solver_ssz" localSheetId="3" hidden="1">100</definedName>
    <definedName name="solver_ssz" localSheetId="1" hidden="1">100</definedName>
    <definedName name="solver_tim" localSheetId="0" hidden="1">2147483647</definedName>
    <definedName name="solver_tim" localSheetId="3" hidden="1">2147483647</definedName>
    <definedName name="solver_tim" localSheetId="1" hidden="1">2147483647</definedName>
    <definedName name="solver_tol" localSheetId="0" hidden="1">0.01</definedName>
    <definedName name="solver_tol" localSheetId="3" hidden="1">0.01</definedName>
    <definedName name="solver_tol" localSheetId="1" hidden="1">0.01</definedName>
    <definedName name="solver_typ" localSheetId="0" hidden="1">1</definedName>
    <definedName name="solver_typ" localSheetId="3" hidden="1">1</definedName>
    <definedName name="solver_typ" localSheetId="1" hidden="1">1</definedName>
    <definedName name="solver_val" localSheetId="0" hidden="1">0</definedName>
    <definedName name="solver_val" localSheetId="3" hidden="1">0</definedName>
    <definedName name="solver_val" localSheetId="1" hidden="1">0</definedName>
    <definedName name="solver_ver" localSheetId="0" hidden="1">3</definedName>
    <definedName name="solver_ver" localSheetId="3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1" i="3" l="1"/>
  <c r="J22" i="3" s="1"/>
  <c r="G18" i="3"/>
  <c r="D18" i="3"/>
  <c r="C18" i="3"/>
  <c r="B18" i="3"/>
  <c r="G16" i="3"/>
  <c r="F16" i="3"/>
  <c r="E16" i="3"/>
  <c r="D16" i="3"/>
  <c r="C16" i="3"/>
  <c r="B16" i="3"/>
  <c r="G15" i="3"/>
  <c r="F15" i="3"/>
  <c r="E15" i="3"/>
  <c r="D15" i="3"/>
  <c r="C15" i="3"/>
  <c r="B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G15" i="1"/>
  <c r="F15" i="1"/>
  <c r="E15" i="1"/>
  <c r="D15" i="1"/>
  <c r="C15" i="1"/>
  <c r="B15" i="1"/>
  <c r="J21" i="2"/>
  <c r="J22" i="2" s="1"/>
  <c r="G18" i="2"/>
  <c r="D18" i="2"/>
  <c r="C18" i="2"/>
  <c r="B18" i="2"/>
  <c r="G16" i="2"/>
  <c r="F16" i="2"/>
  <c r="E16" i="2"/>
  <c r="D16" i="2"/>
  <c r="C16" i="2"/>
  <c r="B16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4" i="1"/>
  <c r="K13" i="1"/>
  <c r="K12" i="1"/>
  <c r="K11" i="1"/>
  <c r="K10" i="1"/>
  <c r="K9" i="1"/>
  <c r="K8" i="1"/>
  <c r="K7" i="1"/>
  <c r="K6" i="1"/>
  <c r="K5" i="1"/>
  <c r="K4" i="1"/>
  <c r="K3" i="1"/>
  <c r="K2" i="1"/>
  <c r="G18" i="1"/>
  <c r="D18" i="1"/>
  <c r="C18" i="1"/>
  <c r="B18" i="1"/>
  <c r="J21" i="1"/>
  <c r="J22" i="1" s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<sst xmlns="http://schemas.openxmlformats.org/spreadsheetml/2006/main" count="88" uniqueCount="26">
  <si>
    <t>Calorie</t>
  </si>
  <si>
    <t>Grassi</t>
  </si>
  <si>
    <t>Carboidrati</t>
  </si>
  <si>
    <t>Zuccheri</t>
  </si>
  <si>
    <t>Fibre</t>
  </si>
  <si>
    <t>Proteine</t>
  </si>
  <si>
    <t>Edamame tostati</t>
  </si>
  <si>
    <t>Gelato light</t>
  </si>
  <si>
    <t>Cereali Oaties</t>
  </si>
  <si>
    <t>Fagioli al sugo</t>
  </si>
  <si>
    <t>Banana</t>
  </si>
  <si>
    <t>Mela</t>
  </si>
  <si>
    <t>Cipolla</t>
  </si>
  <si>
    <t>Riso</t>
  </si>
  <si>
    <t>Latte di soia</t>
  </si>
  <si>
    <t>Petto di pollo</t>
  </si>
  <si>
    <t>Uova</t>
  </si>
  <si>
    <t>Latte proteico</t>
  </si>
  <si>
    <t>Massimo</t>
  </si>
  <si>
    <t>Totale</t>
  </si>
  <si>
    <t>Quantità (g)</t>
  </si>
  <si>
    <t>Latte totale</t>
  </si>
  <si>
    <t>Massimo (g)</t>
  </si>
  <si>
    <t>Minimo</t>
  </si>
  <si>
    <t>Olio</t>
  </si>
  <si>
    <t>Cereali:latte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</si>
</sst>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BDEF43-5E80-4938-A5B5-3E44E8F161CE}">
  <we:reference id="wa200009486" version="1.0.1.6" store="it-IT" storeType="OMEX"/>
  <we:alternateReferences>
    <we:reference id="wa200009486" version="1.0.1.6" store="wa200009486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_xldudf_SOLVER_BASIN_HOPPING</we:customFunctionIds>
        <we:customFunctionIds>_xldudf_SOLVER_BRUTE</we:customFunctionIds>
        <we:customFunctionIds>_xldudf_SOLVER_CA_MINIMIZE</we:customFunctionIds>
        <we:customFunctionIds>_xldudf_SOLVER_CA_QUAD_PROG</we:customFunctionIds>
        <we:customFunctionIds>_xldudf_SOLVER_CA_ROOT</we:customFunctionIds>
        <we:customFunctionIds>_xldudf_SOLVER_DIFF_EVOLUTION</we:customFunctionIds>
        <we:customFunctionIds>_xldudf_SOLVER_DUAL_ANNEALING</we:customFunctionIds>
        <we:customFunctionIds>_xldudf_SOLVER_FIXED_POINT</we:customFunctionIds>
        <we:customFunctionIds>_xldudf_SOLVER_LINEAR_ASSIGNMENT</we:customFunctionIds>
        <we:customFunctionIds>_xldudf_SOLVER_LINEAR_PROG</we:customFunctionIds>
        <we:customFunctionIds>_xldudf_SOLVER_MILP</we:customFunctionIds>
        <we:customFunctionIds>_xldudf_SOLVER_MINIMIZE</we:customFunctionIds>
        <we:customFunctionIds>_xldudf_SOLVER_MINIMIZE_SCALAR</we:customFunctionIds>
        <we:customFunctionIds>_xldudf_SOLVER_QUAD_ASSIGN</we:customFunctionIds>
        <we:customFunctionIds>_xldudf_SOLVER_ROOT</we:customFunctionIds>
        <we:customFunctionIds>_xldudf_SOLVER_ROOT_SCALAR</we:customFunctionIds>
        <we:customFunctionIds>_xldudf_SOLVER_SHGO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6280-8E4C-4E96-BBC5-8E5D57DFA567}">
  <dimension ref="A1:N22"/>
  <sheetViews>
    <sheetView tabSelected="1" workbookViewId="0">
      <selection activeCell="K18" sqref="K18"/>
    </sheetView>
  </sheetViews>
  <sheetFormatPr defaultRowHeight="14.6" x14ac:dyDescent="0.4"/>
  <cols>
    <col min="1" max="1" width="15.4609375" customWidth="1"/>
    <col min="4" max="4" width="10.3828125" customWidth="1"/>
    <col min="8" max="8" width="11.07421875" customWidth="1"/>
    <col min="10" max="10" width="10.765625" customWidth="1"/>
    <col min="11" max="11" width="16" customWidth="1"/>
  </cols>
  <sheetData>
    <row r="1" spans="1:14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22</v>
      </c>
      <c r="J1" s="1" t="s">
        <v>20</v>
      </c>
      <c r="L1" s="1"/>
    </row>
    <row r="2" spans="1:14" x14ac:dyDescent="0.4">
      <c r="A2" s="1" t="s">
        <v>6</v>
      </c>
      <c r="B2">
        <v>428</v>
      </c>
      <c r="C2">
        <v>18</v>
      </c>
      <c r="D2">
        <v>16</v>
      </c>
      <c r="E2">
        <v>6</v>
      </c>
      <c r="F2">
        <v>15</v>
      </c>
      <c r="G2">
        <v>43</v>
      </c>
      <c r="H2">
        <v>30</v>
      </c>
      <c r="J2">
        <v>30</v>
      </c>
      <c r="K2" t="str">
        <f>A2</f>
        <v>Edamame tostati</v>
      </c>
    </row>
    <row r="3" spans="1:14" x14ac:dyDescent="0.4">
      <c r="A3" s="1" t="s">
        <v>7</v>
      </c>
      <c r="B3">
        <v>146</v>
      </c>
      <c r="C3">
        <v>4.7</v>
      </c>
      <c r="D3">
        <v>21</v>
      </c>
      <c r="E3">
        <v>11</v>
      </c>
      <c r="F3">
        <v>9.6</v>
      </c>
      <c r="G3">
        <v>3.9</v>
      </c>
      <c r="H3" s="3">
        <v>50</v>
      </c>
      <c r="J3">
        <v>50</v>
      </c>
      <c r="K3" t="str">
        <f t="shared" ref="K3:K14" si="0">A3</f>
        <v>Gelato light</v>
      </c>
    </row>
    <row r="4" spans="1:14" x14ac:dyDescent="0.4">
      <c r="A4" s="1" t="s">
        <v>8</v>
      </c>
      <c r="B4">
        <v>380</v>
      </c>
      <c r="C4">
        <v>4.5999999999999996</v>
      </c>
      <c r="D4">
        <v>70</v>
      </c>
      <c r="E4">
        <v>21</v>
      </c>
      <c r="F4">
        <v>8.9</v>
      </c>
      <c r="G4">
        <v>10</v>
      </c>
      <c r="H4">
        <v>100</v>
      </c>
      <c r="J4">
        <v>31.416215465778105</v>
      </c>
      <c r="K4" t="str">
        <f t="shared" si="0"/>
        <v>Cereali Oaties</v>
      </c>
    </row>
    <row r="5" spans="1:14" x14ac:dyDescent="0.4">
      <c r="A5" s="1" t="s">
        <v>9</v>
      </c>
      <c r="B5">
        <v>88</v>
      </c>
      <c r="C5">
        <v>0.4</v>
      </c>
      <c r="D5">
        <v>12.1</v>
      </c>
      <c r="E5">
        <v>2.5</v>
      </c>
      <c r="F5">
        <v>5.8</v>
      </c>
      <c r="G5">
        <v>6</v>
      </c>
      <c r="H5">
        <v>210</v>
      </c>
      <c r="J5">
        <v>210</v>
      </c>
      <c r="K5" t="str">
        <f t="shared" si="0"/>
        <v>Fagioli al sugo</v>
      </c>
    </row>
    <row r="6" spans="1:14" x14ac:dyDescent="0.4">
      <c r="A6" s="1" t="s">
        <v>10</v>
      </c>
      <c r="B6">
        <v>89</v>
      </c>
      <c r="C6">
        <v>0.3</v>
      </c>
      <c r="D6">
        <v>22.9</v>
      </c>
      <c r="E6">
        <v>11.9</v>
      </c>
      <c r="F6">
        <v>2.5</v>
      </c>
      <c r="G6">
        <v>1.1000000000000001</v>
      </c>
      <c r="H6">
        <v>50</v>
      </c>
      <c r="J6">
        <v>0</v>
      </c>
      <c r="K6" t="str">
        <f t="shared" si="0"/>
        <v>Banana</v>
      </c>
    </row>
    <row r="7" spans="1:14" x14ac:dyDescent="0.4">
      <c r="A7" s="1" t="s">
        <v>11</v>
      </c>
      <c r="B7">
        <v>48</v>
      </c>
      <c r="C7">
        <v>0.1</v>
      </c>
      <c r="D7">
        <v>12.7</v>
      </c>
      <c r="E7">
        <v>14</v>
      </c>
      <c r="F7">
        <v>2</v>
      </c>
      <c r="G7">
        <v>0.2</v>
      </c>
      <c r="H7">
        <v>50</v>
      </c>
      <c r="J7">
        <v>0</v>
      </c>
      <c r="K7" t="str">
        <f t="shared" si="0"/>
        <v>Mela</v>
      </c>
    </row>
    <row r="8" spans="1:14" x14ac:dyDescent="0.4">
      <c r="A8" s="1" t="s">
        <v>12</v>
      </c>
      <c r="B8">
        <v>45</v>
      </c>
      <c r="C8">
        <v>0.2</v>
      </c>
      <c r="D8">
        <v>9.6</v>
      </c>
      <c r="E8">
        <v>4.2</v>
      </c>
      <c r="F8">
        <v>1.7</v>
      </c>
      <c r="G8">
        <v>1.4</v>
      </c>
      <c r="H8">
        <v>200</v>
      </c>
      <c r="J8">
        <v>200</v>
      </c>
      <c r="K8" t="str">
        <f t="shared" si="0"/>
        <v>Cipolla</v>
      </c>
    </row>
    <row r="9" spans="1:14" x14ac:dyDescent="0.4">
      <c r="A9" s="1" t="s">
        <v>13</v>
      </c>
      <c r="B9">
        <v>349</v>
      </c>
      <c r="C9">
        <v>0.6</v>
      </c>
      <c r="D9">
        <v>78</v>
      </c>
      <c r="E9">
        <v>0.3</v>
      </c>
      <c r="F9">
        <v>1.4</v>
      </c>
      <c r="G9">
        <v>7.4</v>
      </c>
      <c r="H9">
        <v>100</v>
      </c>
      <c r="J9">
        <v>84.486556527372954</v>
      </c>
      <c r="K9" t="str">
        <f t="shared" si="0"/>
        <v>Riso</v>
      </c>
    </row>
    <row r="10" spans="1:14" x14ac:dyDescent="0.4">
      <c r="A10" s="1" t="s">
        <v>14</v>
      </c>
      <c r="B10">
        <v>40</v>
      </c>
      <c r="C10">
        <v>1.8</v>
      </c>
      <c r="D10">
        <v>2.8</v>
      </c>
      <c r="E10">
        <v>2.8</v>
      </c>
      <c r="F10">
        <v>0.4</v>
      </c>
      <c r="G10">
        <v>3</v>
      </c>
      <c r="J10">
        <v>78.540538664445336</v>
      </c>
      <c r="K10" t="str">
        <f t="shared" si="0"/>
        <v>Latte di soia</v>
      </c>
    </row>
    <row r="11" spans="1:14" x14ac:dyDescent="0.4">
      <c r="A11" s="1" t="s">
        <v>15</v>
      </c>
      <c r="B11">
        <v>100</v>
      </c>
      <c r="C11">
        <v>0.8</v>
      </c>
      <c r="D11">
        <v>0</v>
      </c>
      <c r="E11">
        <v>0</v>
      </c>
      <c r="F11">
        <v>0</v>
      </c>
      <c r="G11">
        <v>23.3</v>
      </c>
      <c r="H11">
        <v>500</v>
      </c>
      <c r="J11">
        <v>390.55861420799664</v>
      </c>
      <c r="K11" t="str">
        <f t="shared" si="0"/>
        <v>Petto di pollo</v>
      </c>
    </row>
    <row r="12" spans="1:14" x14ac:dyDescent="0.4">
      <c r="A12" s="1" t="s">
        <v>16</v>
      </c>
      <c r="B12">
        <v>128</v>
      </c>
      <c r="C12">
        <v>8.6999999999999993</v>
      </c>
      <c r="D12">
        <v>0.5</v>
      </c>
      <c r="E12">
        <v>0</v>
      </c>
      <c r="F12">
        <v>0</v>
      </c>
      <c r="G12">
        <v>12.4</v>
      </c>
      <c r="H12">
        <v>110</v>
      </c>
      <c r="J12">
        <v>0</v>
      </c>
      <c r="K12" t="str">
        <f t="shared" si="0"/>
        <v>Uova</v>
      </c>
      <c r="N12" s="2"/>
    </row>
    <row r="13" spans="1:14" x14ac:dyDescent="0.4">
      <c r="A13" s="1" t="s">
        <v>24</v>
      </c>
      <c r="B13">
        <v>888</v>
      </c>
      <c r="C13">
        <v>100</v>
      </c>
      <c r="D13">
        <v>0</v>
      </c>
      <c r="E13">
        <v>0</v>
      </c>
      <c r="F13">
        <v>0</v>
      </c>
      <c r="G13">
        <v>0</v>
      </c>
      <c r="J13">
        <v>41.519736139785998</v>
      </c>
      <c r="K13" t="str">
        <f t="shared" si="0"/>
        <v>Olio</v>
      </c>
      <c r="N13" s="2"/>
    </row>
    <row r="14" spans="1:14" x14ac:dyDescent="0.4">
      <c r="A14" s="1" t="s">
        <v>17</v>
      </c>
      <c r="B14">
        <v>53</v>
      </c>
      <c r="C14">
        <v>0.1</v>
      </c>
      <c r="D14">
        <v>5</v>
      </c>
      <c r="E14">
        <v>5</v>
      </c>
      <c r="F14">
        <v>0</v>
      </c>
      <c r="G14">
        <v>8</v>
      </c>
      <c r="J14">
        <v>0</v>
      </c>
      <c r="K14" t="str">
        <f t="shared" si="0"/>
        <v>Latte proteico</v>
      </c>
    </row>
    <row r="15" spans="1:14" x14ac:dyDescent="0.4">
      <c r="B15" s="1" t="str">
        <f>B1</f>
        <v>Calorie</v>
      </c>
      <c r="C15" s="1" t="str">
        <f t="shared" ref="C15:G15" si="1">C1</f>
        <v>Grassi</v>
      </c>
      <c r="D15" s="1" t="str">
        <f t="shared" si="1"/>
        <v>Carboidrati</v>
      </c>
      <c r="E15" s="1" t="str">
        <f t="shared" si="1"/>
        <v>Zuccheri</v>
      </c>
      <c r="F15" s="1" t="str">
        <f t="shared" si="1"/>
        <v>Fibre</v>
      </c>
      <c r="G15" s="1" t="str">
        <f t="shared" si="1"/>
        <v>Proteine</v>
      </c>
    </row>
    <row r="16" spans="1:14" x14ac:dyDescent="0.4">
      <c r="A16" s="1" t="s">
        <v>19</v>
      </c>
      <c r="B16">
        <f>SUMPRODUCT(B$2:B$14,$J$2:$J$14)/100</f>
        <v>1681.1097876455628</v>
      </c>
      <c r="C16">
        <f t="shared" ref="C16:G16" si="2">SUMPRODUCT(C$2:C$14,$J$2:$J$14)/100</f>
        <v>57.000000000000021</v>
      </c>
      <c r="D16">
        <f t="shared" si="2"/>
        <v>150.00000000000003</v>
      </c>
      <c r="E16">
        <f t="shared" si="2"/>
        <v>29.999999999999996</v>
      </c>
      <c r="F16">
        <f t="shared" si="2"/>
        <v>29.173017122495253</v>
      </c>
      <c r="G16">
        <f t="shared" si="2"/>
        <v>133</v>
      </c>
    </row>
    <row r="18" spans="1:10" x14ac:dyDescent="0.4">
      <c r="A18" s="1" t="s">
        <v>23</v>
      </c>
      <c r="B18">
        <f>B19*0.95</f>
        <v>1615</v>
      </c>
      <c r="C18">
        <f>C19*0.95</f>
        <v>57</v>
      </c>
      <c r="D18">
        <f>D19*0.95</f>
        <v>142.5</v>
      </c>
      <c r="G18">
        <f>G19*0.95</f>
        <v>133</v>
      </c>
    </row>
    <row r="19" spans="1:10" x14ac:dyDescent="0.4">
      <c r="A19" s="1" t="s">
        <v>18</v>
      </c>
      <c r="B19">
        <v>1700</v>
      </c>
      <c r="C19">
        <v>60</v>
      </c>
      <c r="D19">
        <v>150</v>
      </c>
      <c r="E19">
        <v>30</v>
      </c>
      <c r="G19">
        <v>140</v>
      </c>
    </row>
    <row r="21" spans="1:10" x14ac:dyDescent="0.4">
      <c r="A21" s="1" t="s">
        <v>21</v>
      </c>
      <c r="H21">
        <v>500</v>
      </c>
      <c r="J21">
        <f>J10+J14</f>
        <v>78.540538664445336</v>
      </c>
    </row>
    <row r="22" spans="1:10" x14ac:dyDescent="0.4">
      <c r="A22" s="1" t="s">
        <v>25</v>
      </c>
      <c r="H22">
        <v>0</v>
      </c>
      <c r="J22">
        <f>J4/0.4-J21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1597-C223-49B3-92FA-89ED52846095}">
  <dimension ref="A1:N22"/>
  <sheetViews>
    <sheetView workbookViewId="0">
      <selection activeCell="I15" sqref="I15"/>
    </sheetView>
  </sheetViews>
  <sheetFormatPr defaultRowHeight="14.6" x14ac:dyDescent="0.4"/>
  <cols>
    <col min="1" max="1" width="15.4609375" customWidth="1"/>
    <col min="4" max="4" width="10.3828125" customWidth="1"/>
    <col min="8" max="8" width="11.07421875" customWidth="1"/>
    <col min="10" max="10" width="10.765625" customWidth="1"/>
    <col min="11" max="11" width="16" customWidth="1"/>
  </cols>
  <sheetData>
    <row r="1" spans="1:14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22</v>
      </c>
      <c r="J1" s="1" t="s">
        <v>20</v>
      </c>
      <c r="L1" s="1"/>
    </row>
    <row r="2" spans="1:14" x14ac:dyDescent="0.4">
      <c r="A2" s="1" t="s">
        <v>6</v>
      </c>
      <c r="B2">
        <v>428</v>
      </c>
      <c r="C2">
        <v>18</v>
      </c>
      <c r="D2">
        <v>16</v>
      </c>
      <c r="E2">
        <v>6</v>
      </c>
      <c r="F2">
        <v>15</v>
      </c>
      <c r="G2">
        <v>43</v>
      </c>
      <c r="H2">
        <v>0</v>
      </c>
      <c r="J2">
        <v>0</v>
      </c>
      <c r="K2" t="str">
        <f>A2</f>
        <v>Edamame tostati</v>
      </c>
    </row>
    <row r="3" spans="1:14" x14ac:dyDescent="0.4">
      <c r="A3" s="1" t="s">
        <v>7</v>
      </c>
      <c r="B3">
        <v>146</v>
      </c>
      <c r="C3">
        <v>4.7</v>
      </c>
      <c r="D3">
        <v>21</v>
      </c>
      <c r="E3">
        <v>11</v>
      </c>
      <c r="F3">
        <v>9.6</v>
      </c>
      <c r="G3">
        <v>3.9</v>
      </c>
      <c r="H3" s="3">
        <v>0</v>
      </c>
      <c r="J3">
        <v>0</v>
      </c>
      <c r="K3" t="str">
        <f t="shared" ref="K3:K14" si="0">A3</f>
        <v>Gelato light</v>
      </c>
    </row>
    <row r="4" spans="1:14" x14ac:dyDescent="0.4">
      <c r="A4" s="1" t="s">
        <v>8</v>
      </c>
      <c r="B4">
        <v>380</v>
      </c>
      <c r="C4">
        <v>4.5999999999999996</v>
      </c>
      <c r="D4">
        <v>70</v>
      </c>
      <c r="E4">
        <v>21</v>
      </c>
      <c r="F4">
        <v>8.9</v>
      </c>
      <c r="G4">
        <v>10</v>
      </c>
      <c r="H4">
        <v>100</v>
      </c>
      <c r="J4">
        <v>31.07142857142852</v>
      </c>
      <c r="K4" t="str">
        <f t="shared" si="0"/>
        <v>Cereali Oaties</v>
      </c>
    </row>
    <row r="5" spans="1:14" x14ac:dyDescent="0.4">
      <c r="A5" s="1" t="s">
        <v>9</v>
      </c>
      <c r="B5">
        <v>88</v>
      </c>
      <c r="C5">
        <v>0.4</v>
      </c>
      <c r="D5">
        <v>12.1</v>
      </c>
      <c r="E5">
        <v>2.5</v>
      </c>
      <c r="F5">
        <v>5.8</v>
      </c>
      <c r="G5">
        <v>6</v>
      </c>
      <c r="H5">
        <v>0</v>
      </c>
      <c r="J5">
        <v>0</v>
      </c>
      <c r="K5" t="str">
        <f t="shared" si="0"/>
        <v>Fagioli al sugo</v>
      </c>
    </row>
    <row r="6" spans="1:14" x14ac:dyDescent="0.4">
      <c r="A6" s="1" t="s">
        <v>10</v>
      </c>
      <c r="B6">
        <v>89</v>
      </c>
      <c r="C6">
        <v>0.3</v>
      </c>
      <c r="D6">
        <v>22.9</v>
      </c>
      <c r="E6">
        <v>11.9</v>
      </c>
      <c r="F6">
        <v>2.5</v>
      </c>
      <c r="G6">
        <v>1.1000000000000001</v>
      </c>
      <c r="H6">
        <v>50</v>
      </c>
      <c r="J6">
        <v>0</v>
      </c>
      <c r="K6" t="str">
        <f t="shared" si="0"/>
        <v>Banana</v>
      </c>
    </row>
    <row r="7" spans="1:14" x14ac:dyDescent="0.4">
      <c r="A7" s="1" t="s">
        <v>11</v>
      </c>
      <c r="B7">
        <v>48</v>
      </c>
      <c r="C7">
        <v>0.1</v>
      </c>
      <c r="D7">
        <v>12.7</v>
      </c>
      <c r="E7">
        <v>14</v>
      </c>
      <c r="F7">
        <v>2</v>
      </c>
      <c r="G7">
        <v>0.2</v>
      </c>
      <c r="H7">
        <v>50</v>
      </c>
      <c r="J7">
        <v>0</v>
      </c>
      <c r="K7" t="str">
        <f t="shared" si="0"/>
        <v>Mela</v>
      </c>
    </row>
    <row r="8" spans="1:14" x14ac:dyDescent="0.4">
      <c r="A8" s="1" t="s">
        <v>12</v>
      </c>
      <c r="B8">
        <v>45</v>
      </c>
      <c r="C8">
        <v>0.2</v>
      </c>
      <c r="D8">
        <v>9.6</v>
      </c>
      <c r="E8">
        <v>4.2</v>
      </c>
      <c r="F8">
        <v>1.7</v>
      </c>
      <c r="G8">
        <v>1.4</v>
      </c>
      <c r="H8">
        <v>500</v>
      </c>
      <c r="J8">
        <v>500</v>
      </c>
      <c r="K8" t="str">
        <f t="shared" si="0"/>
        <v>Cipolla</v>
      </c>
    </row>
    <row r="9" spans="1:14" x14ac:dyDescent="0.4">
      <c r="A9" s="1" t="s">
        <v>13</v>
      </c>
      <c r="B9">
        <v>349</v>
      </c>
      <c r="C9">
        <v>0.6</v>
      </c>
      <c r="D9">
        <v>78</v>
      </c>
      <c r="E9">
        <v>0.3</v>
      </c>
      <c r="F9">
        <v>1.4</v>
      </c>
      <c r="G9">
        <v>7.4</v>
      </c>
      <c r="H9">
        <v>100</v>
      </c>
      <c r="J9">
        <v>100</v>
      </c>
      <c r="K9" t="str">
        <f t="shared" si="0"/>
        <v>Riso</v>
      </c>
    </row>
    <row r="10" spans="1:14" x14ac:dyDescent="0.4">
      <c r="A10" s="1" t="s">
        <v>14</v>
      </c>
      <c r="B10">
        <v>40</v>
      </c>
      <c r="C10">
        <v>1.8</v>
      </c>
      <c r="D10">
        <v>2.8</v>
      </c>
      <c r="E10">
        <v>2.8</v>
      </c>
      <c r="F10">
        <v>0.4</v>
      </c>
      <c r="G10">
        <v>3</v>
      </c>
      <c r="J10">
        <v>77.678571428571388</v>
      </c>
      <c r="K10" t="str">
        <f t="shared" si="0"/>
        <v>Latte di soia</v>
      </c>
    </row>
    <row r="11" spans="1:14" x14ac:dyDescent="0.4">
      <c r="A11" s="1" t="s">
        <v>15</v>
      </c>
      <c r="B11">
        <v>100</v>
      </c>
      <c r="C11">
        <v>0.8</v>
      </c>
      <c r="D11">
        <v>0</v>
      </c>
      <c r="E11">
        <v>0</v>
      </c>
      <c r="F11">
        <v>0</v>
      </c>
      <c r="G11">
        <v>23.3</v>
      </c>
      <c r="H11">
        <v>500</v>
      </c>
      <c r="J11">
        <v>485.67596566523588</v>
      </c>
      <c r="K11" t="str">
        <f t="shared" si="0"/>
        <v>Petto di pollo</v>
      </c>
    </row>
    <row r="12" spans="1:14" x14ac:dyDescent="0.4">
      <c r="A12" s="1" t="s">
        <v>16</v>
      </c>
      <c r="B12">
        <v>128</v>
      </c>
      <c r="C12">
        <v>8.6999999999999993</v>
      </c>
      <c r="D12">
        <v>0.5</v>
      </c>
      <c r="E12">
        <v>0</v>
      </c>
      <c r="F12">
        <v>0</v>
      </c>
      <c r="G12">
        <v>12.4</v>
      </c>
      <c r="H12">
        <v>110</v>
      </c>
      <c r="J12">
        <v>0</v>
      </c>
      <c r="K12" t="str">
        <f t="shared" si="0"/>
        <v>Uova</v>
      </c>
      <c r="N12" s="2"/>
    </row>
    <row r="13" spans="1:14" x14ac:dyDescent="0.4">
      <c r="A13" s="1" t="s">
        <v>24</v>
      </c>
      <c r="B13">
        <v>888</v>
      </c>
      <c r="C13">
        <v>100</v>
      </c>
      <c r="D13">
        <v>0</v>
      </c>
      <c r="E13">
        <v>0</v>
      </c>
      <c r="F13">
        <v>0</v>
      </c>
      <c r="G13">
        <v>0</v>
      </c>
      <c r="J13">
        <v>48.687092274678136</v>
      </c>
      <c r="K13" t="str">
        <f t="shared" si="0"/>
        <v>Olio</v>
      </c>
      <c r="N13" s="2"/>
    </row>
    <row r="14" spans="1:14" x14ac:dyDescent="0.4">
      <c r="A14" s="1" t="s">
        <v>17</v>
      </c>
      <c r="B14">
        <v>53</v>
      </c>
      <c r="C14">
        <v>0.1</v>
      </c>
      <c r="D14">
        <v>5</v>
      </c>
      <c r="E14">
        <v>5</v>
      </c>
      <c r="F14">
        <v>0</v>
      </c>
      <c r="G14">
        <v>8</v>
      </c>
      <c r="J14">
        <v>0</v>
      </c>
      <c r="K14" t="str">
        <f t="shared" si="0"/>
        <v>Latte proteico</v>
      </c>
    </row>
    <row r="15" spans="1:14" x14ac:dyDescent="0.4">
      <c r="B15" s="1" t="str">
        <f>B1</f>
        <v>Calorie</v>
      </c>
      <c r="C15" s="1" t="str">
        <f t="shared" ref="C15:G15" si="1">C1</f>
        <v>Grassi</v>
      </c>
      <c r="D15" s="1" t="str">
        <f t="shared" si="1"/>
        <v>Carboidrati</v>
      </c>
      <c r="E15" s="1" t="str">
        <f t="shared" si="1"/>
        <v>Zuccheri</v>
      </c>
      <c r="F15" s="1" t="str">
        <f t="shared" si="1"/>
        <v>Fibre</v>
      </c>
      <c r="G15" s="1" t="str">
        <f t="shared" si="1"/>
        <v>Proteine</v>
      </c>
    </row>
    <row r="16" spans="1:14" x14ac:dyDescent="0.4">
      <c r="A16" s="1" t="s">
        <v>19</v>
      </c>
      <c r="B16">
        <f>SUMPRODUCT(B$2:B$14,$J$2:$J$14)/100</f>
        <v>1641.1602022072348</v>
      </c>
      <c r="C16">
        <f t="shared" ref="C16:G16" si="2">SUMPRODUCT(C$2:C$14,$J$2:$J$14)/100</f>
        <v>57.000000000000021</v>
      </c>
      <c r="D16">
        <f t="shared" si="2"/>
        <v>149.92499999999995</v>
      </c>
      <c r="E16">
        <f t="shared" si="2"/>
        <v>29.999999999999989</v>
      </c>
      <c r="F16">
        <f t="shared" si="2"/>
        <v>12.976071428571423</v>
      </c>
      <c r="G16">
        <f t="shared" si="2"/>
        <v>132.99999999999997</v>
      </c>
    </row>
    <row r="18" spans="1:10" x14ac:dyDescent="0.4">
      <c r="A18" s="1" t="s">
        <v>23</v>
      </c>
      <c r="B18">
        <f>B19*0.95</f>
        <v>1615</v>
      </c>
      <c r="C18">
        <f>C19*0.95</f>
        <v>57</v>
      </c>
      <c r="D18">
        <f>D19*0.95</f>
        <v>142.5</v>
      </c>
      <c r="G18">
        <f>G19*0.95</f>
        <v>133</v>
      </c>
    </row>
    <row r="19" spans="1:10" x14ac:dyDescent="0.4">
      <c r="A19" s="1" t="s">
        <v>18</v>
      </c>
      <c r="B19">
        <v>1700</v>
      </c>
      <c r="C19">
        <v>60</v>
      </c>
      <c r="D19">
        <v>150</v>
      </c>
      <c r="E19">
        <v>30</v>
      </c>
      <c r="G19">
        <v>140</v>
      </c>
    </row>
    <row r="21" spans="1:10" x14ac:dyDescent="0.4">
      <c r="A21" s="1" t="s">
        <v>21</v>
      </c>
      <c r="H21">
        <v>500</v>
      </c>
      <c r="J21">
        <f>J10+J14</f>
        <v>77.678571428571388</v>
      </c>
    </row>
    <row r="22" spans="1:10" x14ac:dyDescent="0.4">
      <c r="A22" s="1" t="s">
        <v>25</v>
      </c>
      <c r="H22">
        <v>0</v>
      </c>
      <c r="J22">
        <f>J4/0.4-J21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E7DB-DD4A-4190-AB24-38897FB5B752}">
  <dimension ref="E8:F17"/>
  <sheetViews>
    <sheetView workbookViewId="0">
      <selection activeCell="E8" sqref="E8:F17"/>
    </sheetView>
  </sheetViews>
  <sheetFormatPr defaultRowHeight="14.6" x14ac:dyDescent="0.4"/>
  <cols>
    <col min="6" max="6" width="12.61328125" customWidth="1"/>
  </cols>
  <sheetData>
    <row r="8" spans="5:6" x14ac:dyDescent="0.4">
      <c r="E8">
        <v>31.07142857142852</v>
      </c>
      <c r="F8" t="s">
        <v>8</v>
      </c>
    </row>
    <row r="9" spans="5:6" x14ac:dyDescent="0.4">
      <c r="E9">
        <v>0</v>
      </c>
      <c r="F9" t="s">
        <v>10</v>
      </c>
    </row>
    <row r="10" spans="5:6" x14ac:dyDescent="0.4">
      <c r="E10">
        <v>0</v>
      </c>
      <c r="F10" t="s">
        <v>11</v>
      </c>
    </row>
    <row r="11" spans="5:6" x14ac:dyDescent="0.4">
      <c r="E11">
        <v>500</v>
      </c>
      <c r="F11" t="s">
        <v>12</v>
      </c>
    </row>
    <row r="12" spans="5:6" x14ac:dyDescent="0.4">
      <c r="E12">
        <v>100</v>
      </c>
      <c r="F12" t="s">
        <v>13</v>
      </c>
    </row>
    <row r="13" spans="5:6" x14ac:dyDescent="0.4">
      <c r="E13">
        <v>77.678571428571388</v>
      </c>
      <c r="F13" t="s">
        <v>14</v>
      </c>
    </row>
    <row r="14" spans="5:6" x14ac:dyDescent="0.4">
      <c r="E14">
        <v>485.67596566523588</v>
      </c>
      <c r="F14" t="s">
        <v>15</v>
      </c>
    </row>
    <row r="15" spans="5:6" x14ac:dyDescent="0.4">
      <c r="E15">
        <v>0</v>
      </c>
      <c r="F15" t="s">
        <v>16</v>
      </c>
    </row>
    <row r="16" spans="5:6" x14ac:dyDescent="0.4">
      <c r="E16">
        <v>48.687092274678136</v>
      </c>
      <c r="F16" t="s">
        <v>24</v>
      </c>
    </row>
    <row r="17" spans="5:6" x14ac:dyDescent="0.4">
      <c r="E17">
        <v>0</v>
      </c>
      <c r="F17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3F78-601D-421F-A3D3-37E0835A1BAC}">
  <dimension ref="A1:N22"/>
  <sheetViews>
    <sheetView workbookViewId="0">
      <selection activeCell="J17" sqref="J17"/>
    </sheetView>
  </sheetViews>
  <sheetFormatPr defaultRowHeight="14.6" x14ac:dyDescent="0.4"/>
  <cols>
    <col min="1" max="1" width="15.4609375" customWidth="1"/>
    <col min="4" max="4" width="10.3828125" customWidth="1"/>
    <col min="8" max="8" width="11.07421875" customWidth="1"/>
    <col min="10" max="10" width="10.765625" customWidth="1"/>
    <col min="11" max="11" width="16" customWidth="1"/>
  </cols>
  <sheetData>
    <row r="1" spans="1:14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22</v>
      </c>
      <c r="J1" s="1" t="s">
        <v>20</v>
      </c>
      <c r="L1" s="1"/>
    </row>
    <row r="2" spans="1:14" x14ac:dyDescent="0.4">
      <c r="A2" s="1" t="s">
        <v>6</v>
      </c>
      <c r="B2">
        <v>428</v>
      </c>
      <c r="C2">
        <v>18</v>
      </c>
      <c r="D2">
        <v>16</v>
      </c>
      <c r="E2">
        <v>6</v>
      </c>
      <c r="F2">
        <v>15</v>
      </c>
      <c r="G2">
        <v>43</v>
      </c>
      <c r="H2">
        <v>30</v>
      </c>
      <c r="J2">
        <v>0</v>
      </c>
      <c r="K2" t="str">
        <f>A2</f>
        <v>Edamame tostati</v>
      </c>
    </row>
    <row r="3" spans="1:14" x14ac:dyDescent="0.4">
      <c r="A3" s="1" t="s">
        <v>7</v>
      </c>
      <c r="B3">
        <v>146</v>
      </c>
      <c r="C3">
        <v>4.7</v>
      </c>
      <c r="D3">
        <v>21</v>
      </c>
      <c r="E3">
        <v>11</v>
      </c>
      <c r="F3">
        <v>9.6</v>
      </c>
      <c r="G3">
        <v>3.9</v>
      </c>
      <c r="H3" s="3">
        <v>50</v>
      </c>
      <c r="J3">
        <v>0</v>
      </c>
      <c r="K3" t="str">
        <f t="shared" ref="K3:K14" si="0">A3</f>
        <v>Gelato light</v>
      </c>
    </row>
    <row r="4" spans="1:14" x14ac:dyDescent="0.4">
      <c r="A4" s="1" t="s">
        <v>8</v>
      </c>
      <c r="B4">
        <v>380</v>
      </c>
      <c r="C4">
        <v>4.5999999999999996</v>
      </c>
      <c r="D4">
        <v>70</v>
      </c>
      <c r="E4">
        <v>21</v>
      </c>
      <c r="F4">
        <v>8.9</v>
      </c>
      <c r="G4">
        <v>10</v>
      </c>
      <c r="H4">
        <v>100</v>
      </c>
      <c r="J4">
        <v>0</v>
      </c>
      <c r="K4" t="str">
        <f t="shared" si="0"/>
        <v>Cereali Oaties</v>
      </c>
    </row>
    <row r="5" spans="1:14" x14ac:dyDescent="0.4">
      <c r="A5" s="1" t="s">
        <v>9</v>
      </c>
      <c r="B5">
        <v>88</v>
      </c>
      <c r="C5">
        <v>0.4</v>
      </c>
      <c r="D5">
        <v>12.1</v>
      </c>
      <c r="E5">
        <v>2.5</v>
      </c>
      <c r="F5">
        <v>5.8</v>
      </c>
      <c r="G5">
        <v>6</v>
      </c>
      <c r="H5">
        <v>210</v>
      </c>
      <c r="J5">
        <v>0</v>
      </c>
      <c r="K5" t="str">
        <f t="shared" si="0"/>
        <v>Fagioli al sugo</v>
      </c>
    </row>
    <row r="6" spans="1:14" x14ac:dyDescent="0.4">
      <c r="A6" s="1" t="s">
        <v>10</v>
      </c>
      <c r="B6">
        <v>89</v>
      </c>
      <c r="C6">
        <v>0.3</v>
      </c>
      <c r="D6">
        <v>22.9</v>
      </c>
      <c r="E6">
        <v>11.9</v>
      </c>
      <c r="F6">
        <v>2.5</v>
      </c>
      <c r="G6">
        <v>1.1000000000000001</v>
      </c>
      <c r="H6">
        <v>50</v>
      </c>
      <c r="J6">
        <v>0</v>
      </c>
      <c r="K6" t="str">
        <f t="shared" si="0"/>
        <v>Banana</v>
      </c>
    </row>
    <row r="7" spans="1:14" x14ac:dyDescent="0.4">
      <c r="A7" s="1" t="s">
        <v>11</v>
      </c>
      <c r="B7">
        <v>48</v>
      </c>
      <c r="C7">
        <v>0.1</v>
      </c>
      <c r="D7">
        <v>12.7</v>
      </c>
      <c r="E7">
        <v>14</v>
      </c>
      <c r="F7">
        <v>2</v>
      </c>
      <c r="G7">
        <v>0.2</v>
      </c>
      <c r="H7">
        <v>50</v>
      </c>
      <c r="J7">
        <v>0</v>
      </c>
      <c r="K7" t="str">
        <f t="shared" si="0"/>
        <v>Mela</v>
      </c>
    </row>
    <row r="8" spans="1:14" x14ac:dyDescent="0.4">
      <c r="A8" s="1" t="s">
        <v>12</v>
      </c>
      <c r="B8">
        <v>45</v>
      </c>
      <c r="C8">
        <v>0.2</v>
      </c>
      <c r="D8">
        <v>9.6</v>
      </c>
      <c r="E8">
        <v>4.2</v>
      </c>
      <c r="F8">
        <v>1.7</v>
      </c>
      <c r="G8">
        <v>1.4</v>
      </c>
      <c r="H8">
        <v>200</v>
      </c>
      <c r="J8">
        <v>0</v>
      </c>
      <c r="K8" t="str">
        <f t="shared" si="0"/>
        <v>Cipolla</v>
      </c>
    </row>
    <row r="9" spans="1:14" x14ac:dyDescent="0.4">
      <c r="A9" s="1" t="s">
        <v>13</v>
      </c>
      <c r="B9">
        <v>349</v>
      </c>
      <c r="C9">
        <v>0.6</v>
      </c>
      <c r="D9">
        <v>78</v>
      </c>
      <c r="E9">
        <v>0.3</v>
      </c>
      <c r="F9">
        <v>1.4</v>
      </c>
      <c r="G9">
        <v>7.4</v>
      </c>
      <c r="H9">
        <v>100</v>
      </c>
      <c r="J9">
        <v>0</v>
      </c>
      <c r="K9" t="str">
        <f t="shared" si="0"/>
        <v>Riso</v>
      </c>
    </row>
    <row r="10" spans="1:14" x14ac:dyDescent="0.4">
      <c r="A10" s="1" t="s">
        <v>14</v>
      </c>
      <c r="B10">
        <v>40</v>
      </c>
      <c r="C10">
        <v>1.8</v>
      </c>
      <c r="D10">
        <v>2.8</v>
      </c>
      <c r="E10">
        <v>2.8</v>
      </c>
      <c r="F10">
        <v>0.4</v>
      </c>
      <c r="G10">
        <v>3</v>
      </c>
      <c r="J10">
        <v>0</v>
      </c>
      <c r="K10" t="str">
        <f t="shared" si="0"/>
        <v>Latte di soia</v>
      </c>
    </row>
    <row r="11" spans="1:14" x14ac:dyDescent="0.4">
      <c r="A11" s="1" t="s">
        <v>15</v>
      </c>
      <c r="B11">
        <v>100</v>
      </c>
      <c r="C11">
        <v>0.8</v>
      </c>
      <c r="D11">
        <v>0</v>
      </c>
      <c r="E11">
        <v>0</v>
      </c>
      <c r="F11">
        <v>0</v>
      </c>
      <c r="G11">
        <v>23.3</v>
      </c>
      <c r="H11">
        <v>500</v>
      </c>
      <c r="J11">
        <v>0</v>
      </c>
      <c r="K11" t="str">
        <f t="shared" si="0"/>
        <v>Petto di pollo</v>
      </c>
    </row>
    <row r="12" spans="1:14" x14ac:dyDescent="0.4">
      <c r="A12" s="1" t="s">
        <v>16</v>
      </c>
      <c r="B12">
        <v>128</v>
      </c>
      <c r="C12">
        <v>8.6999999999999993</v>
      </c>
      <c r="D12">
        <v>0.5</v>
      </c>
      <c r="E12">
        <v>0</v>
      </c>
      <c r="F12">
        <v>0</v>
      </c>
      <c r="G12">
        <v>12.4</v>
      </c>
      <c r="H12">
        <v>110</v>
      </c>
      <c r="J12">
        <v>0</v>
      </c>
      <c r="K12" t="str">
        <f t="shared" si="0"/>
        <v>Uova</v>
      </c>
      <c r="N12" s="2"/>
    </row>
    <row r="13" spans="1:14" x14ac:dyDescent="0.4">
      <c r="A13" s="1" t="s">
        <v>24</v>
      </c>
      <c r="B13">
        <v>888</v>
      </c>
      <c r="C13">
        <v>100</v>
      </c>
      <c r="D13">
        <v>0</v>
      </c>
      <c r="E13">
        <v>0</v>
      </c>
      <c r="F13">
        <v>0</v>
      </c>
      <c r="G13">
        <v>0</v>
      </c>
      <c r="J13">
        <v>0</v>
      </c>
      <c r="K13" t="str">
        <f t="shared" si="0"/>
        <v>Olio</v>
      </c>
      <c r="N13" s="2"/>
    </row>
    <row r="14" spans="1:14" x14ac:dyDescent="0.4">
      <c r="A14" s="1" t="s">
        <v>17</v>
      </c>
      <c r="B14">
        <v>53</v>
      </c>
      <c r="C14">
        <v>0.1</v>
      </c>
      <c r="D14">
        <v>5</v>
      </c>
      <c r="E14">
        <v>5</v>
      </c>
      <c r="F14">
        <v>0</v>
      </c>
      <c r="G14">
        <v>8</v>
      </c>
      <c r="J14">
        <v>0</v>
      </c>
      <c r="K14" t="str">
        <f t="shared" si="0"/>
        <v>Latte proteico</v>
      </c>
    </row>
    <row r="16" spans="1:14" x14ac:dyDescent="0.4">
      <c r="A16" s="1" t="s">
        <v>19</v>
      </c>
      <c r="B16">
        <f>SUMPRODUCT(B$2:B$14,$J$2:$J$14)/100</f>
        <v>0</v>
      </c>
      <c r="C16">
        <f t="shared" ref="C16:G16" si="1">SUMPRODUCT(C$2:C$14,$J$2:$J$14)/100</f>
        <v>0</v>
      </c>
      <c r="D16">
        <f t="shared" si="1"/>
        <v>0</v>
      </c>
      <c r="E16">
        <f t="shared" si="1"/>
        <v>0</v>
      </c>
      <c r="F16">
        <f t="shared" si="1"/>
        <v>0</v>
      </c>
      <c r="G16">
        <f t="shared" si="1"/>
        <v>0</v>
      </c>
    </row>
    <row r="18" spans="1:10" x14ac:dyDescent="0.4">
      <c r="A18" s="1" t="s">
        <v>23</v>
      </c>
      <c r="B18">
        <f>B19*0.95</f>
        <v>1615</v>
      </c>
      <c r="C18">
        <f>C19*0.95</f>
        <v>57</v>
      </c>
      <c r="D18">
        <f>D19*0.95</f>
        <v>142.5</v>
      </c>
      <c r="G18">
        <f>G19*0.95</f>
        <v>133</v>
      </c>
    </row>
    <row r="19" spans="1:10" x14ac:dyDescent="0.4">
      <c r="A19" s="1" t="s">
        <v>18</v>
      </c>
      <c r="B19">
        <v>1700</v>
      </c>
      <c r="C19">
        <v>60</v>
      </c>
      <c r="D19">
        <v>150</v>
      </c>
      <c r="E19">
        <v>30</v>
      </c>
      <c r="G19">
        <v>140</v>
      </c>
    </row>
    <row r="21" spans="1:10" x14ac:dyDescent="0.4">
      <c r="A21" s="1" t="s">
        <v>21</v>
      </c>
      <c r="H21">
        <v>500</v>
      </c>
      <c r="J21">
        <f>J10+J14</f>
        <v>0</v>
      </c>
    </row>
    <row r="22" spans="1:10" x14ac:dyDescent="0.4">
      <c r="A22" s="1" t="s">
        <v>25</v>
      </c>
      <c r="H22">
        <v>0</v>
      </c>
      <c r="J22">
        <f>J4/0.4-J21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Foglio1 (3)</vt:lpstr>
      <vt:lpstr>Foglio4</vt:lpstr>
      <vt:lpstr>Foglio1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Derosas</dc:creator>
  <cp:lastModifiedBy>Lorenzo Derosas</cp:lastModifiedBy>
  <dcterms:created xsi:type="dcterms:W3CDTF">2026-08-29T14:56:26Z</dcterms:created>
  <dcterms:modified xsi:type="dcterms:W3CDTF">2026-08-29T19:20:49Z</dcterms:modified>
</cp:coreProperties>
</file>